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mriwellcometrust-my.sharepoint.com/personal/smusundi_kemri-wellcome_org/Documents/RAVIG/metagenomics/metagenomics_plots/data/"/>
    </mc:Choice>
  </mc:AlternateContent>
  <xr:revisionPtr revIDLastSave="94" documentId="8_{649407D8-E5E4-8343-9FF5-ECC906244199}" xr6:coauthVersionLast="47" xr6:coauthVersionMax="47" xr10:uidLastSave="{4DC71632-B82C-FC45-928C-6CBF91ED8BE5}"/>
  <bookViews>
    <workbookView xWindow="0" yWindow="0" windowWidth="28800" windowHeight="18000" activeTab="2" xr2:uid="{5FCE5A56-F684-B741-8EDA-D800DF2BFB2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0" i="1"/>
</calcChain>
</file>

<file path=xl/sharedStrings.xml><?xml version="1.0" encoding="utf-8"?>
<sst xmlns="http://schemas.openxmlformats.org/spreadsheetml/2006/main" count="532" uniqueCount="157">
  <si>
    <t>Metagenomics</t>
  </si>
  <si>
    <t>MPXV Amplification</t>
  </si>
  <si>
    <t>qPCR</t>
  </si>
  <si>
    <t>Sample ID</t>
  </si>
  <si>
    <t>Total reads</t>
  </si>
  <si>
    <t>Reads post QC</t>
  </si>
  <si>
    <t>Virus, reads, coverage at 20×</t>
  </si>
  <si>
    <t xml:space="preserve"> Reads, coverage</t>
  </si>
  <si>
    <t>Orthopox Ct values</t>
  </si>
  <si>
    <t>MPXV Ct values</t>
  </si>
  <si>
    <t>VZV Ct ORF29</t>
  </si>
  <si>
    <t>VZV ORF63</t>
  </si>
  <si>
    <t>RVG-001</t>
  </si>
  <si>
    <t>MPXV (1,276, 4.2%)</t>
  </si>
  <si>
    <t>30,503, 94.6%</t>
  </si>
  <si>
    <t>Neg.</t>
  </si>
  <si>
    <t>Neg</t>
  </si>
  <si>
    <t>RVG-002</t>
  </si>
  <si>
    <t>-</t>
  </si>
  <si>
    <t>RVG-003</t>
  </si>
  <si>
    <t>VZV (26,864, 427%), MPXV (444, 2%)</t>
  </si>
  <si>
    <t>RVG-004</t>
  </si>
  <si>
    <t>VZV (2,913, 27.2%)</t>
  </si>
  <si>
    <t>RVG-005</t>
  </si>
  <si>
    <t>VZV (190,308, 97.5%)</t>
  </si>
  <si>
    <t>RVG-006</t>
  </si>
  <si>
    <t>RVG-007</t>
  </si>
  <si>
    <t>VZV (534217, 99.8%)</t>
  </si>
  <si>
    <t>RVG-008</t>
  </si>
  <si>
    <t>VZV (4173, 39.3%), MPXV (168,3.4%)</t>
  </si>
  <si>
    <t>RVG-009</t>
  </si>
  <si>
    <t>VZV (24721, 76.5%), MPXV (839, 3.4%)</t>
  </si>
  <si>
    <t>RVG-010</t>
  </si>
  <si>
    <t>VZV (7320, 32.5%), MPXV (207, 1.8%)</t>
  </si>
  <si>
    <t>RVG-011</t>
  </si>
  <si>
    <t>VZV (19,807, 32.3%), MPXV (239, 1.3%)</t>
  </si>
  <si>
    <t>RVG-012</t>
  </si>
  <si>
    <t>MPXV (2,771, 29.61%), VZV (2,643, 27.82%)</t>
  </si>
  <si>
    <t>33576, 93.85%</t>
  </si>
  <si>
    <t>RVG-013</t>
  </si>
  <si>
    <t>VZV (1,510, 15.4%), MPXV (910, 28.3%)</t>
  </si>
  <si>
    <t>33145, 92.14%</t>
  </si>
  <si>
    <t>RVG-014</t>
  </si>
  <si>
    <t>VZV (66,091, 64.2%), HSV-1 2 (1,764, 1.2%), MPXV (126, 0.08%)</t>
  </si>
  <si>
    <t>RVG-015</t>
  </si>
  <si>
    <t>VZV (31,554, 99.1%)</t>
  </si>
  <si>
    <t>RVG-016</t>
  </si>
  <si>
    <t>VZV (125,687, 75.0%)</t>
  </si>
  <si>
    <t>RVG-017</t>
  </si>
  <si>
    <t>VZV (12,031, 69%)</t>
  </si>
  <si>
    <t>RVG-018</t>
  </si>
  <si>
    <t>VZV (332, 9.2%)</t>
  </si>
  <si>
    <t>RVG-019</t>
  </si>
  <si>
    <t>VZV (30, 9.3%)</t>
  </si>
  <si>
    <t>RVG-020</t>
  </si>
  <si>
    <t>VZV (118,137, 99.2%)</t>
  </si>
  <si>
    <t>RVG-021</t>
  </si>
  <si>
    <t>VZV (45, 16.2%)</t>
  </si>
  <si>
    <t>RVG-022</t>
  </si>
  <si>
    <t>VZV (26, 10.2%)</t>
  </si>
  <si>
    <t>RVG-023</t>
  </si>
  <si>
    <t>VZV (174, 21.8%)</t>
  </si>
  <si>
    <t>RVG-024</t>
  </si>
  <si>
    <t>VZV (452, 16.1%)</t>
  </si>
  <si>
    <t>RVG-025</t>
  </si>
  <si>
    <t>VZV (81, 13.8%)</t>
  </si>
  <si>
    <t>RVG-026</t>
  </si>
  <si>
    <t>VZV (24, 11.2%)</t>
  </si>
  <si>
    <t>--</t>
  </si>
  <si>
    <t>RVG-027</t>
  </si>
  <si>
    <t>VZV (28, 13.4%)</t>
  </si>
  <si>
    <t>RVG-028</t>
  </si>
  <si>
    <t>VZV (5659, 95.1%)</t>
  </si>
  <si>
    <t>RVG-029</t>
  </si>
  <si>
    <t>VZV (5685, 93.4%)</t>
  </si>
  <si>
    <t>RVG-030</t>
  </si>
  <si>
    <t>VZV (38, 18.2%)</t>
  </si>
  <si>
    <t>RVG-031</t>
  </si>
  <si>
    <t>VZV (53, 15.0%)</t>
  </si>
  <si>
    <t>RVG-032</t>
  </si>
  <si>
    <t>VZV (446,159, 99.6%)</t>
  </si>
  <si>
    <t>RVG-033</t>
  </si>
  <si>
    <t>VZV (66, 8.2%)</t>
  </si>
  <si>
    <t>Pos. qPCR</t>
  </si>
  <si>
    <t>Neg. control qPCR</t>
  </si>
  <si>
    <t xml:space="preserve">Neg. control (MS) </t>
  </si>
  <si>
    <t>VZV (3, 1.0%)</t>
  </si>
  <si>
    <t>Neg. control (MS)</t>
  </si>
  <si>
    <t>VZV (16, 7.4%)</t>
  </si>
  <si>
    <t>Pos</t>
  </si>
  <si>
    <t>High Ct</t>
  </si>
  <si>
    <t>average</t>
  </si>
  <si>
    <t>status</t>
  </si>
  <si>
    <t>VZV_reads</t>
  </si>
  <si>
    <t>Orthopox_Ct_values</t>
  </si>
  <si>
    <t>MPXV_Ct_values</t>
  </si>
  <si>
    <t>VZV_Ct_ORF29</t>
  </si>
  <si>
    <t>VZV_ORF63</t>
  </si>
  <si>
    <t>Characteristic</t>
  </si>
  <si>
    <t>Total (n=33)</t>
  </si>
  <si>
    <t xml:space="preserve">Gender </t>
  </si>
  <si>
    <t xml:space="preserve">Male </t>
  </si>
  <si>
    <t>19 (59.5%)</t>
  </si>
  <si>
    <t>Median age (Interquartile range)</t>
  </si>
  <si>
    <t>20(6-39) years</t>
  </si>
  <si>
    <t>Age groups</t>
  </si>
  <si>
    <t xml:space="preserve">  0-5 years</t>
  </si>
  <si>
    <t>8 (24.24%)</t>
  </si>
  <si>
    <t xml:space="preserve">  6-18 years</t>
  </si>
  <si>
    <t>7(21.21%)</t>
  </si>
  <si>
    <t xml:space="preserve">  19-35 years </t>
  </si>
  <si>
    <t>6 (18.18%)</t>
  </si>
  <si>
    <t xml:space="preserve">  36-50 years</t>
  </si>
  <si>
    <t>11 (33.33%)</t>
  </si>
  <si>
    <t xml:space="preserve">  &gt;51 years</t>
  </si>
  <si>
    <t>1(3.03%)</t>
  </si>
  <si>
    <t xml:space="preserve">Symptoms </t>
  </si>
  <si>
    <t xml:space="preserve">Rash </t>
  </si>
  <si>
    <t>31 (94%)</t>
  </si>
  <si>
    <t xml:space="preserve">Loss of appetite </t>
  </si>
  <si>
    <t>12 (36%)</t>
  </si>
  <si>
    <t>Cough</t>
  </si>
  <si>
    <t>11 (33%)</t>
  </si>
  <si>
    <t xml:space="preserve">Fever </t>
  </si>
  <si>
    <t>10 (30%)</t>
  </si>
  <si>
    <t xml:space="preserve">Running nose </t>
  </si>
  <si>
    <t>9 (27%)</t>
  </si>
  <si>
    <t>Conjunctivitis</t>
  </si>
  <si>
    <t>7 (21%)</t>
  </si>
  <si>
    <t>Headache</t>
  </si>
  <si>
    <t>Throat pain</t>
  </si>
  <si>
    <t>5 (15%)</t>
  </si>
  <si>
    <t xml:space="preserve">Muscle/Joint pains </t>
  </si>
  <si>
    <t>4 (12%)</t>
  </si>
  <si>
    <t>Difficulty in breathing</t>
  </si>
  <si>
    <t>3 (9%)</t>
  </si>
  <si>
    <t xml:space="preserve">Pneumonia </t>
  </si>
  <si>
    <t>1 (3%)</t>
  </si>
  <si>
    <t>MPXV monoinfection (n=1)</t>
  </si>
  <si>
    <t>1(100%)</t>
  </si>
  <si>
    <t>15(57.7%)</t>
  </si>
  <si>
    <t>7(26.9%)</t>
  </si>
  <si>
    <t>6(23.1%)</t>
  </si>
  <si>
    <t>5(19.2%)</t>
  </si>
  <si>
    <t>1(3.8%)</t>
  </si>
  <si>
    <t>VZV monoinfection (n=26)</t>
  </si>
  <si>
    <t>25(96.2%)</t>
  </si>
  <si>
    <t>9(34.6%)</t>
  </si>
  <si>
    <t>10(38.5)</t>
  </si>
  <si>
    <t>4(15.4%)</t>
  </si>
  <si>
    <t>3(11.5%)</t>
  </si>
  <si>
    <t>18(6.25-38.5)</t>
  </si>
  <si>
    <t>MPXV +VZV coinfection(n=3)</t>
  </si>
  <si>
    <t>2(66.7%)</t>
  </si>
  <si>
    <t>1(33.3%)</t>
  </si>
  <si>
    <t>3(100%)</t>
  </si>
  <si>
    <t>39(22.5-41)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</si>
</sst>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12529"/>
      <name val="Arial"/>
      <family val="2"/>
    </font>
    <font>
      <sz val="10"/>
      <color rgb="FF242424"/>
      <name val="Arial"/>
      <family val="2"/>
    </font>
    <font>
      <sz val="12"/>
      <color rgb="FF000000"/>
      <name val="Aptos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8" xfId="0" applyBorder="1"/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3" fontId="2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0" fillId="3" borderId="8" xfId="0" applyFill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/>
    </xf>
    <xf numFmtId="0" fontId="7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top"/>
    </xf>
    <xf numFmtId="0" fontId="6" fillId="0" borderId="8" xfId="0" applyFont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0C7A-A650-D340-9AC1-90F61C5B9128}">
  <dimension ref="A1:K45"/>
  <sheetViews>
    <sheetView workbookViewId="0">
      <selection activeCell="A8" sqref="A8:K45"/>
    </sheetView>
  </sheetViews>
  <sheetFormatPr baseColWidth="10" defaultRowHeight="16" x14ac:dyDescent="0.2"/>
  <cols>
    <col min="4" max="4" width="50.1640625" customWidth="1"/>
  </cols>
  <sheetData>
    <row r="1" spans="1:11" x14ac:dyDescent="0.2">
      <c r="A1" s="19"/>
      <c r="B1" s="21" t="s">
        <v>0</v>
      </c>
      <c r="C1" s="22"/>
      <c r="D1" s="23"/>
      <c r="E1" s="27" t="s">
        <v>1</v>
      </c>
      <c r="F1" s="21" t="s">
        <v>2</v>
      </c>
      <c r="G1" s="22"/>
      <c r="H1" s="22"/>
      <c r="I1" s="23"/>
    </row>
    <row r="2" spans="1:11" x14ac:dyDescent="0.2">
      <c r="A2" s="20"/>
      <c r="B2" s="24"/>
      <c r="C2" s="25"/>
      <c r="D2" s="26"/>
      <c r="E2" s="28"/>
      <c r="F2" s="24"/>
      <c r="G2" s="25"/>
      <c r="H2" s="25"/>
      <c r="I2" s="26"/>
    </row>
    <row r="3" spans="1:11" x14ac:dyDescent="0.2">
      <c r="A3" s="20"/>
      <c r="B3" s="24"/>
      <c r="C3" s="25"/>
      <c r="D3" s="26"/>
      <c r="E3" s="28"/>
      <c r="F3" s="24"/>
      <c r="G3" s="25"/>
      <c r="H3" s="25"/>
      <c r="I3" s="26"/>
    </row>
    <row r="4" spans="1:11" x14ac:dyDescent="0.2">
      <c r="A4" s="20"/>
      <c r="B4" s="24"/>
      <c r="C4" s="25"/>
      <c r="D4" s="26"/>
      <c r="E4" s="28"/>
      <c r="F4" s="24"/>
      <c r="G4" s="25"/>
      <c r="H4" s="25"/>
      <c r="I4" s="26"/>
    </row>
    <row r="5" spans="1:11" x14ac:dyDescent="0.2">
      <c r="A5" s="20"/>
      <c r="B5" s="24"/>
      <c r="C5" s="25"/>
      <c r="D5" s="26"/>
      <c r="E5" s="28"/>
      <c r="F5" s="24"/>
      <c r="G5" s="25"/>
      <c r="H5" s="25"/>
      <c r="I5" s="26"/>
    </row>
    <row r="6" spans="1:11" x14ac:dyDescent="0.2">
      <c r="A6" s="20"/>
      <c r="B6" s="24"/>
      <c r="C6" s="25"/>
      <c r="D6" s="26"/>
      <c r="E6" s="28"/>
      <c r="F6" s="24"/>
      <c r="G6" s="25"/>
      <c r="H6" s="25"/>
      <c r="I6" s="26"/>
    </row>
    <row r="7" spans="1:11" x14ac:dyDescent="0.2">
      <c r="A7" s="20"/>
      <c r="B7" s="24"/>
      <c r="C7" s="25"/>
      <c r="D7" s="26"/>
      <c r="E7" s="28"/>
      <c r="F7" s="24"/>
      <c r="G7" s="25"/>
      <c r="H7" s="25"/>
      <c r="I7" s="26"/>
    </row>
    <row r="8" spans="1:11" x14ac:dyDescent="0.2">
      <c r="A8" s="5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92</v>
      </c>
      <c r="K8" s="6" t="s">
        <v>91</v>
      </c>
    </row>
    <row r="9" spans="1:11" x14ac:dyDescent="0.2">
      <c r="A9" s="7" t="s">
        <v>12</v>
      </c>
      <c r="B9" s="8">
        <v>1622747</v>
      </c>
      <c r="C9" s="8">
        <v>3962</v>
      </c>
      <c r="D9" s="3" t="s">
        <v>13</v>
      </c>
      <c r="E9" s="9" t="s">
        <v>14</v>
      </c>
      <c r="F9" s="3">
        <v>22.15</v>
      </c>
      <c r="G9" s="3">
        <v>19.579999999999998</v>
      </c>
      <c r="H9" s="3" t="s">
        <v>15</v>
      </c>
      <c r="I9" s="3" t="s">
        <v>16</v>
      </c>
      <c r="J9" s="1"/>
      <c r="K9" s="1"/>
    </row>
    <row r="10" spans="1:11" x14ac:dyDescent="0.2">
      <c r="A10" s="10" t="s">
        <v>17</v>
      </c>
      <c r="B10" s="11">
        <v>190664</v>
      </c>
      <c r="C10" s="11">
        <v>161294</v>
      </c>
      <c r="D10" s="2" t="s">
        <v>18</v>
      </c>
      <c r="E10" s="2" t="s">
        <v>18</v>
      </c>
      <c r="F10" s="2" t="s">
        <v>15</v>
      </c>
      <c r="G10" s="2" t="s">
        <v>15</v>
      </c>
      <c r="H10" s="2">
        <v>27.9</v>
      </c>
      <c r="I10" s="2">
        <v>27.1</v>
      </c>
      <c r="J10" s="2" t="s">
        <v>89</v>
      </c>
      <c r="K10" s="1">
        <f>AVERAGE(H10,I10)</f>
        <v>27.5</v>
      </c>
    </row>
    <row r="11" spans="1:11" x14ac:dyDescent="0.2">
      <c r="A11" s="10" t="s">
        <v>19</v>
      </c>
      <c r="B11" s="11">
        <v>1175782</v>
      </c>
      <c r="C11" s="11">
        <v>33001</v>
      </c>
      <c r="D11" s="2" t="s">
        <v>20</v>
      </c>
      <c r="E11" s="2" t="s">
        <v>18</v>
      </c>
      <c r="F11" s="2" t="s">
        <v>15</v>
      </c>
      <c r="G11" s="2" t="s">
        <v>15</v>
      </c>
      <c r="H11" s="2">
        <v>35.9</v>
      </c>
      <c r="I11" s="2" t="s">
        <v>15</v>
      </c>
      <c r="J11" s="2" t="s">
        <v>90</v>
      </c>
      <c r="K11" s="1">
        <f t="shared" ref="K11:K41" si="0">AVERAGE(H11,I11)</f>
        <v>35.9</v>
      </c>
    </row>
    <row r="12" spans="1:11" x14ac:dyDescent="0.2">
      <c r="A12" s="7" t="s">
        <v>21</v>
      </c>
      <c r="B12" s="8">
        <v>898695</v>
      </c>
      <c r="C12" s="8">
        <v>4168</v>
      </c>
      <c r="D12" s="3" t="s">
        <v>22</v>
      </c>
      <c r="E12" s="3" t="s">
        <v>18</v>
      </c>
      <c r="F12" s="3" t="s">
        <v>15</v>
      </c>
      <c r="G12" s="3" t="s">
        <v>15</v>
      </c>
      <c r="H12" s="3">
        <v>18.8</v>
      </c>
      <c r="I12" s="3">
        <v>18.3</v>
      </c>
      <c r="J12" s="3" t="s">
        <v>89</v>
      </c>
      <c r="K12" s="1">
        <f t="shared" si="0"/>
        <v>18.55</v>
      </c>
    </row>
    <row r="13" spans="1:11" x14ac:dyDescent="0.2">
      <c r="A13" s="7" t="s">
        <v>23</v>
      </c>
      <c r="B13" s="8">
        <v>1214269</v>
      </c>
      <c r="C13" s="8">
        <v>191849</v>
      </c>
      <c r="D13" s="3" t="s">
        <v>24</v>
      </c>
      <c r="E13" s="3" t="s">
        <v>18</v>
      </c>
      <c r="F13" s="3" t="s">
        <v>15</v>
      </c>
      <c r="G13" s="3" t="s">
        <v>15</v>
      </c>
      <c r="H13" s="3">
        <v>20</v>
      </c>
      <c r="I13" s="3">
        <v>19.5</v>
      </c>
      <c r="J13" s="3" t="s">
        <v>89</v>
      </c>
      <c r="K13" s="1">
        <f t="shared" si="0"/>
        <v>19.75</v>
      </c>
    </row>
    <row r="14" spans="1:11" x14ac:dyDescent="0.2">
      <c r="A14" s="10" t="s">
        <v>25</v>
      </c>
      <c r="B14" s="11">
        <v>611796</v>
      </c>
      <c r="C14" s="2">
        <v>18349</v>
      </c>
      <c r="D14" s="10"/>
      <c r="E14" s="2" t="s">
        <v>18</v>
      </c>
      <c r="F14" s="2" t="s">
        <v>15</v>
      </c>
      <c r="G14" s="2" t="s">
        <v>15</v>
      </c>
      <c r="H14" s="2">
        <v>35.5</v>
      </c>
      <c r="I14" s="2" t="s">
        <v>15</v>
      </c>
      <c r="J14" s="2" t="s">
        <v>90</v>
      </c>
      <c r="K14" s="1">
        <f t="shared" si="0"/>
        <v>35.5</v>
      </c>
    </row>
    <row r="15" spans="1:11" x14ac:dyDescent="0.2">
      <c r="A15" s="7" t="s">
        <v>26</v>
      </c>
      <c r="B15" s="8">
        <v>772634</v>
      </c>
      <c r="C15" s="3">
        <v>534261</v>
      </c>
      <c r="D15" s="3" t="s">
        <v>27</v>
      </c>
      <c r="E15" s="3" t="s">
        <v>18</v>
      </c>
      <c r="F15" s="3" t="s">
        <v>15</v>
      </c>
      <c r="G15" s="3" t="s">
        <v>15</v>
      </c>
      <c r="H15" s="3">
        <v>19.2</v>
      </c>
      <c r="I15" s="3">
        <v>18.5</v>
      </c>
      <c r="J15" s="2" t="s">
        <v>89</v>
      </c>
      <c r="K15" s="1">
        <f t="shared" si="0"/>
        <v>18.850000000000001</v>
      </c>
    </row>
    <row r="16" spans="1:11" x14ac:dyDescent="0.2">
      <c r="A16" s="7" t="s">
        <v>28</v>
      </c>
      <c r="B16" s="8">
        <v>768809</v>
      </c>
      <c r="C16" s="3">
        <v>13640</v>
      </c>
      <c r="D16" s="3" t="s">
        <v>29</v>
      </c>
      <c r="E16" s="3" t="s">
        <v>18</v>
      </c>
      <c r="F16" s="3" t="s">
        <v>15</v>
      </c>
      <c r="G16" s="3" t="s">
        <v>15</v>
      </c>
      <c r="H16" s="3">
        <v>30.8</v>
      </c>
      <c r="I16" s="3">
        <v>33.9</v>
      </c>
      <c r="J16" s="2" t="s">
        <v>89</v>
      </c>
      <c r="K16" s="1">
        <f t="shared" si="0"/>
        <v>32.35</v>
      </c>
    </row>
    <row r="17" spans="1:11" x14ac:dyDescent="0.2">
      <c r="A17" s="7" t="s">
        <v>30</v>
      </c>
      <c r="B17" s="8">
        <v>857004</v>
      </c>
      <c r="C17" s="3">
        <v>44566</v>
      </c>
      <c r="D17" s="3" t="s">
        <v>31</v>
      </c>
      <c r="E17" s="7"/>
      <c r="F17" s="3" t="s">
        <v>15</v>
      </c>
      <c r="G17" s="3" t="s">
        <v>15</v>
      </c>
      <c r="H17" s="3">
        <v>19.7</v>
      </c>
      <c r="I17" s="3">
        <v>18.899999999999999</v>
      </c>
      <c r="J17" s="2" t="s">
        <v>89</v>
      </c>
      <c r="K17" s="1">
        <f t="shared" si="0"/>
        <v>19.299999999999997</v>
      </c>
    </row>
    <row r="18" spans="1:11" x14ac:dyDescent="0.2">
      <c r="A18" s="10" t="s">
        <v>32</v>
      </c>
      <c r="B18" s="11">
        <v>870986</v>
      </c>
      <c r="C18" s="2">
        <v>55948</v>
      </c>
      <c r="D18" s="2" t="s">
        <v>33</v>
      </c>
      <c r="E18" s="10"/>
      <c r="F18" s="2" t="s">
        <v>15</v>
      </c>
      <c r="G18" s="2" t="s">
        <v>15</v>
      </c>
      <c r="H18" s="2">
        <v>37</v>
      </c>
      <c r="I18" s="2" t="s">
        <v>15</v>
      </c>
      <c r="J18" s="2" t="s">
        <v>89</v>
      </c>
      <c r="K18" s="1">
        <f t="shared" si="0"/>
        <v>37</v>
      </c>
    </row>
    <row r="19" spans="1:11" x14ac:dyDescent="0.2">
      <c r="A19" s="10" t="s">
        <v>34</v>
      </c>
      <c r="B19" s="11">
        <v>865803</v>
      </c>
      <c r="C19" s="2">
        <v>48968</v>
      </c>
      <c r="D19" s="2" t="s">
        <v>35</v>
      </c>
      <c r="E19" s="10"/>
      <c r="F19" s="2" t="s">
        <v>15</v>
      </c>
      <c r="G19" s="2" t="s">
        <v>15</v>
      </c>
      <c r="H19" s="2">
        <v>36.1</v>
      </c>
      <c r="I19" s="2" t="s">
        <v>15</v>
      </c>
      <c r="J19" s="2" t="s">
        <v>90</v>
      </c>
      <c r="K19" s="1">
        <f t="shared" si="0"/>
        <v>36.1</v>
      </c>
    </row>
    <row r="20" spans="1:11" x14ac:dyDescent="0.2">
      <c r="A20" s="7" t="s">
        <v>36</v>
      </c>
      <c r="B20" s="8">
        <v>732414</v>
      </c>
      <c r="C20" s="3">
        <v>9500</v>
      </c>
      <c r="D20" s="3" t="s">
        <v>37</v>
      </c>
      <c r="E20" s="9" t="s">
        <v>38</v>
      </c>
      <c r="F20" s="3">
        <v>20.83</v>
      </c>
      <c r="G20" s="3">
        <v>18.396999999999998</v>
      </c>
      <c r="H20" s="3">
        <v>30.6</v>
      </c>
      <c r="I20" s="3">
        <v>31.7</v>
      </c>
      <c r="J20" s="2" t="s">
        <v>89</v>
      </c>
      <c r="K20" s="1">
        <f t="shared" si="0"/>
        <v>31.15</v>
      </c>
    </row>
    <row r="21" spans="1:11" x14ac:dyDescent="0.2">
      <c r="A21" s="10" t="s">
        <v>39</v>
      </c>
      <c r="B21" s="11">
        <v>1102078</v>
      </c>
      <c r="C21" s="2">
        <v>5495</v>
      </c>
      <c r="D21" s="2" t="s">
        <v>40</v>
      </c>
      <c r="E21" s="12" t="s">
        <v>41</v>
      </c>
      <c r="F21" s="2">
        <v>24.009</v>
      </c>
      <c r="G21" s="2">
        <v>21.443000000000001</v>
      </c>
      <c r="H21" s="2">
        <v>38.700000000000003</v>
      </c>
      <c r="I21" s="2" t="s">
        <v>15</v>
      </c>
      <c r="J21" s="2" t="s">
        <v>90</v>
      </c>
      <c r="K21" s="1">
        <f t="shared" si="0"/>
        <v>38.700000000000003</v>
      </c>
    </row>
    <row r="22" spans="1:11" x14ac:dyDescent="0.2">
      <c r="A22" s="10" t="s">
        <v>42</v>
      </c>
      <c r="B22" s="11">
        <v>960779</v>
      </c>
      <c r="C22" s="2">
        <v>145836</v>
      </c>
      <c r="D22" s="2" t="s">
        <v>43</v>
      </c>
      <c r="E22" s="2" t="s">
        <v>18</v>
      </c>
      <c r="F22" s="2">
        <v>37.453000000000003</v>
      </c>
      <c r="G22" s="2">
        <v>33.898000000000003</v>
      </c>
      <c r="H22" s="2" t="s">
        <v>15</v>
      </c>
      <c r="I22" s="2" t="s">
        <v>15</v>
      </c>
      <c r="J22" s="4" t="s">
        <v>16</v>
      </c>
      <c r="K22" s="1" t="e">
        <f t="shared" si="0"/>
        <v>#DIV/0!</v>
      </c>
    </row>
    <row r="23" spans="1:11" x14ac:dyDescent="0.2">
      <c r="A23" s="7" t="s">
        <v>44</v>
      </c>
      <c r="B23" s="8">
        <v>1109729</v>
      </c>
      <c r="C23" s="3">
        <v>138463</v>
      </c>
      <c r="D23" s="3" t="s">
        <v>45</v>
      </c>
      <c r="E23" s="3" t="s">
        <v>18</v>
      </c>
      <c r="F23" s="3" t="s">
        <v>15</v>
      </c>
      <c r="G23" s="3" t="s">
        <v>15</v>
      </c>
      <c r="H23" s="3">
        <v>14.8</v>
      </c>
      <c r="I23" s="3">
        <v>14.3</v>
      </c>
      <c r="J23" s="2" t="s">
        <v>89</v>
      </c>
      <c r="K23" s="1">
        <f t="shared" si="0"/>
        <v>14.55</v>
      </c>
    </row>
    <row r="24" spans="1:11" x14ac:dyDescent="0.2">
      <c r="A24" s="7" t="s">
        <v>46</v>
      </c>
      <c r="B24" s="8">
        <v>1605782</v>
      </c>
      <c r="C24" s="3">
        <v>481498</v>
      </c>
      <c r="D24" s="3" t="s">
        <v>47</v>
      </c>
      <c r="E24" s="3" t="s">
        <v>18</v>
      </c>
      <c r="F24" s="3" t="s">
        <v>15</v>
      </c>
      <c r="G24" s="3" t="s">
        <v>15</v>
      </c>
      <c r="H24" s="3">
        <v>15.4</v>
      </c>
      <c r="I24" s="3">
        <v>15.1</v>
      </c>
      <c r="J24" s="2" t="s">
        <v>89</v>
      </c>
      <c r="K24" s="1">
        <f t="shared" si="0"/>
        <v>15.25</v>
      </c>
    </row>
    <row r="25" spans="1:11" x14ac:dyDescent="0.2">
      <c r="A25" s="7" t="s">
        <v>48</v>
      </c>
      <c r="B25" s="8">
        <v>471853</v>
      </c>
      <c r="C25" s="3">
        <v>138473</v>
      </c>
      <c r="D25" s="3" t="s">
        <v>49</v>
      </c>
      <c r="E25" s="3" t="s">
        <v>18</v>
      </c>
      <c r="F25" s="3" t="s">
        <v>15</v>
      </c>
      <c r="G25" s="3" t="s">
        <v>15</v>
      </c>
      <c r="H25" s="3">
        <v>21.2</v>
      </c>
      <c r="I25" s="3">
        <v>20.2</v>
      </c>
      <c r="J25" s="2" t="s">
        <v>89</v>
      </c>
      <c r="K25" s="1">
        <f t="shared" si="0"/>
        <v>20.7</v>
      </c>
    </row>
    <row r="26" spans="1:11" x14ac:dyDescent="0.2">
      <c r="A26" s="10" t="s">
        <v>50</v>
      </c>
      <c r="B26" s="11">
        <v>1120726</v>
      </c>
      <c r="C26" s="2">
        <v>20528</v>
      </c>
      <c r="D26" s="2" t="s">
        <v>51</v>
      </c>
      <c r="E26" s="2" t="s">
        <v>18</v>
      </c>
      <c r="F26" s="2" t="s">
        <v>15</v>
      </c>
      <c r="G26" s="2" t="s">
        <v>15</v>
      </c>
      <c r="H26" s="2">
        <v>33.200000000000003</v>
      </c>
      <c r="I26" s="2" t="s">
        <v>15</v>
      </c>
      <c r="J26" s="2" t="s">
        <v>89</v>
      </c>
      <c r="K26" s="1">
        <f t="shared" si="0"/>
        <v>33.200000000000003</v>
      </c>
    </row>
    <row r="27" spans="1:11" x14ac:dyDescent="0.2">
      <c r="A27" s="10" t="s">
        <v>52</v>
      </c>
      <c r="B27" s="11">
        <v>568019</v>
      </c>
      <c r="C27" s="11">
        <v>1932</v>
      </c>
      <c r="D27" s="2" t="s">
        <v>53</v>
      </c>
      <c r="E27" s="2" t="s">
        <v>18</v>
      </c>
      <c r="F27" s="2" t="s">
        <v>15</v>
      </c>
      <c r="G27" s="2" t="s">
        <v>15</v>
      </c>
      <c r="H27" s="2">
        <v>27.2</v>
      </c>
      <c r="I27" s="2">
        <v>26.9</v>
      </c>
      <c r="J27" s="2" t="s">
        <v>89</v>
      </c>
      <c r="K27" s="1">
        <f t="shared" si="0"/>
        <v>27.049999999999997</v>
      </c>
    </row>
    <row r="28" spans="1:11" x14ac:dyDescent="0.2">
      <c r="A28" s="10" t="s">
        <v>54</v>
      </c>
      <c r="B28" s="11">
        <v>618522</v>
      </c>
      <c r="C28" s="11">
        <v>125923</v>
      </c>
      <c r="D28" s="2" t="s">
        <v>55</v>
      </c>
      <c r="E28" s="2" t="s">
        <v>18</v>
      </c>
      <c r="F28" s="2" t="s">
        <v>15</v>
      </c>
      <c r="G28" s="2" t="s">
        <v>15</v>
      </c>
      <c r="H28" s="2">
        <v>18</v>
      </c>
      <c r="I28" s="2">
        <v>17.7</v>
      </c>
      <c r="J28" s="2" t="s">
        <v>89</v>
      </c>
      <c r="K28" s="1">
        <f t="shared" si="0"/>
        <v>17.850000000000001</v>
      </c>
    </row>
    <row r="29" spans="1:11" x14ac:dyDescent="0.2">
      <c r="A29" s="10" t="s">
        <v>56</v>
      </c>
      <c r="B29" s="11">
        <v>351582</v>
      </c>
      <c r="C29" s="11">
        <v>1269</v>
      </c>
      <c r="D29" s="2" t="s">
        <v>57</v>
      </c>
      <c r="E29" s="2" t="s">
        <v>18</v>
      </c>
      <c r="F29" s="2" t="s">
        <v>15</v>
      </c>
      <c r="G29" s="2" t="s">
        <v>15</v>
      </c>
      <c r="H29" s="2">
        <v>36.9</v>
      </c>
      <c r="I29" s="2" t="s">
        <v>15</v>
      </c>
      <c r="J29" s="2" t="s">
        <v>90</v>
      </c>
      <c r="K29" s="1">
        <f t="shared" si="0"/>
        <v>36.9</v>
      </c>
    </row>
    <row r="30" spans="1:11" x14ac:dyDescent="0.2">
      <c r="A30" s="10" t="s">
        <v>58</v>
      </c>
      <c r="B30" s="11">
        <v>499277</v>
      </c>
      <c r="C30" s="11">
        <v>1907</v>
      </c>
      <c r="D30" s="2" t="s">
        <v>59</v>
      </c>
      <c r="E30" s="2" t="s">
        <v>18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16</v>
      </c>
      <c r="K30" s="1" t="e">
        <f t="shared" si="0"/>
        <v>#DIV/0!</v>
      </c>
    </row>
    <row r="31" spans="1:11" x14ac:dyDescent="0.2">
      <c r="A31" s="10" t="s">
        <v>60</v>
      </c>
      <c r="B31" s="11">
        <v>1155273</v>
      </c>
      <c r="C31" s="11">
        <v>35573</v>
      </c>
      <c r="D31" s="2" t="s">
        <v>61</v>
      </c>
      <c r="E31" s="2" t="s">
        <v>18</v>
      </c>
      <c r="F31" s="2" t="s">
        <v>15</v>
      </c>
      <c r="G31" s="2" t="s">
        <v>15</v>
      </c>
      <c r="H31" s="2">
        <v>26.2</v>
      </c>
      <c r="I31" s="2">
        <v>25.8</v>
      </c>
      <c r="J31" s="2" t="s">
        <v>89</v>
      </c>
      <c r="K31" s="1">
        <f t="shared" si="0"/>
        <v>26</v>
      </c>
    </row>
    <row r="32" spans="1:11" x14ac:dyDescent="0.2">
      <c r="A32" s="10" t="s">
        <v>62</v>
      </c>
      <c r="B32" s="11">
        <v>757152</v>
      </c>
      <c r="C32" s="11">
        <v>12383</v>
      </c>
      <c r="D32" s="2" t="s">
        <v>63</v>
      </c>
      <c r="E32" s="2" t="s">
        <v>18</v>
      </c>
      <c r="F32" s="2" t="s">
        <v>15</v>
      </c>
      <c r="G32" s="2" t="s">
        <v>15</v>
      </c>
      <c r="H32" s="2">
        <v>39.5</v>
      </c>
      <c r="I32" s="2" t="s">
        <v>15</v>
      </c>
      <c r="J32" s="2" t="s">
        <v>90</v>
      </c>
      <c r="K32" s="1">
        <f t="shared" si="0"/>
        <v>39.5</v>
      </c>
    </row>
    <row r="33" spans="1:11" x14ac:dyDescent="0.2">
      <c r="A33" s="10" t="s">
        <v>64</v>
      </c>
      <c r="B33" s="11">
        <v>931996</v>
      </c>
      <c r="C33" s="11">
        <v>11876</v>
      </c>
      <c r="D33" s="2" t="s">
        <v>65</v>
      </c>
      <c r="E33" s="2" t="s">
        <v>18</v>
      </c>
      <c r="F33" s="2" t="s">
        <v>15</v>
      </c>
      <c r="G33" s="2" t="s">
        <v>15</v>
      </c>
      <c r="H33" s="2">
        <v>36.6</v>
      </c>
      <c r="I33" s="2" t="s">
        <v>15</v>
      </c>
      <c r="J33" s="2" t="s">
        <v>90</v>
      </c>
      <c r="K33" s="1">
        <f t="shared" si="0"/>
        <v>36.6</v>
      </c>
    </row>
    <row r="34" spans="1:11" x14ac:dyDescent="0.2">
      <c r="A34" s="10" t="s">
        <v>66</v>
      </c>
      <c r="B34" s="11">
        <v>454069</v>
      </c>
      <c r="C34" s="11">
        <v>3559</v>
      </c>
      <c r="D34" s="13" t="s">
        <v>67</v>
      </c>
      <c r="E34" s="13" t="s">
        <v>68</v>
      </c>
      <c r="F34" s="2" t="s">
        <v>15</v>
      </c>
      <c r="G34" s="2" t="s">
        <v>15</v>
      </c>
      <c r="H34" s="2">
        <v>37.6</v>
      </c>
      <c r="I34" s="2" t="s">
        <v>15</v>
      </c>
      <c r="J34" s="2" t="s">
        <v>90</v>
      </c>
      <c r="K34" s="1">
        <f t="shared" si="0"/>
        <v>37.6</v>
      </c>
    </row>
    <row r="35" spans="1:11" x14ac:dyDescent="0.2">
      <c r="A35" s="10" t="s">
        <v>69</v>
      </c>
      <c r="B35" s="11">
        <v>159492</v>
      </c>
      <c r="C35" s="11">
        <v>104277</v>
      </c>
      <c r="D35" s="13" t="s">
        <v>70</v>
      </c>
      <c r="E35" s="13" t="s">
        <v>18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16</v>
      </c>
      <c r="K35" s="1" t="e">
        <f t="shared" si="0"/>
        <v>#DIV/0!</v>
      </c>
    </row>
    <row r="36" spans="1:11" x14ac:dyDescent="0.2">
      <c r="A36" s="10" t="s">
        <v>71</v>
      </c>
      <c r="B36" s="11">
        <v>695903</v>
      </c>
      <c r="C36" s="11">
        <v>7555</v>
      </c>
      <c r="D36" s="2" t="s">
        <v>72</v>
      </c>
      <c r="E36" s="2" t="s">
        <v>18</v>
      </c>
      <c r="F36" s="2" t="s">
        <v>15</v>
      </c>
      <c r="G36" s="2" t="s">
        <v>15</v>
      </c>
      <c r="H36" s="2">
        <v>17.5</v>
      </c>
      <c r="I36" s="2">
        <v>16.899999999999999</v>
      </c>
      <c r="J36" s="2" t="s">
        <v>89</v>
      </c>
      <c r="K36" s="1">
        <f t="shared" si="0"/>
        <v>17.2</v>
      </c>
    </row>
    <row r="37" spans="1:11" x14ac:dyDescent="0.2">
      <c r="A37" s="10" t="s">
        <v>73</v>
      </c>
      <c r="B37" s="11">
        <v>612173</v>
      </c>
      <c r="C37" s="11">
        <v>7489</v>
      </c>
      <c r="D37" s="2" t="s">
        <v>74</v>
      </c>
      <c r="E37" s="10"/>
      <c r="F37" s="2" t="s">
        <v>15</v>
      </c>
      <c r="G37" s="2" t="s">
        <v>15</v>
      </c>
      <c r="H37" s="2">
        <v>19.399999999999999</v>
      </c>
      <c r="I37" s="2">
        <v>19.600000000000001</v>
      </c>
      <c r="J37" s="4" t="s">
        <v>89</v>
      </c>
      <c r="K37" s="1">
        <f t="shared" si="0"/>
        <v>19.5</v>
      </c>
    </row>
    <row r="38" spans="1:11" x14ac:dyDescent="0.2">
      <c r="A38" s="10" t="s">
        <v>75</v>
      </c>
      <c r="B38" s="11">
        <v>506916</v>
      </c>
      <c r="C38" s="11">
        <v>41276</v>
      </c>
      <c r="D38" s="2" t="s">
        <v>76</v>
      </c>
      <c r="E38" s="2" t="s">
        <v>18</v>
      </c>
      <c r="F38" s="2" t="s">
        <v>15</v>
      </c>
      <c r="G38" s="2" t="s">
        <v>15</v>
      </c>
      <c r="H38" s="2">
        <v>36.299999999999997</v>
      </c>
      <c r="I38" s="2" t="s">
        <v>15</v>
      </c>
      <c r="J38" s="2" t="s">
        <v>90</v>
      </c>
      <c r="K38" s="1">
        <f t="shared" si="0"/>
        <v>36.299999999999997</v>
      </c>
    </row>
    <row r="39" spans="1:11" x14ac:dyDescent="0.2">
      <c r="A39" s="10" t="s">
        <v>77</v>
      </c>
      <c r="B39" s="11">
        <v>549131</v>
      </c>
      <c r="C39" s="11">
        <v>2264</v>
      </c>
      <c r="D39" s="2" t="s">
        <v>78</v>
      </c>
      <c r="E39" s="2" t="s">
        <v>68</v>
      </c>
      <c r="F39" s="2" t="s">
        <v>15</v>
      </c>
      <c r="G39" s="2" t="s">
        <v>15</v>
      </c>
      <c r="H39" s="2">
        <v>38.6</v>
      </c>
      <c r="I39" s="2" t="s">
        <v>15</v>
      </c>
      <c r="J39" s="2" t="s">
        <v>90</v>
      </c>
      <c r="K39" s="1">
        <f t="shared" si="0"/>
        <v>38.6</v>
      </c>
    </row>
    <row r="40" spans="1:11" x14ac:dyDescent="0.2">
      <c r="A40" s="10" t="s">
        <v>79</v>
      </c>
      <c r="B40" s="2">
        <v>521.84699999999998</v>
      </c>
      <c r="C40" s="2">
        <v>462804</v>
      </c>
      <c r="D40" s="2" t="s">
        <v>80</v>
      </c>
      <c r="E40" s="10"/>
      <c r="F40" s="2" t="s">
        <v>15</v>
      </c>
      <c r="G40" s="2" t="s">
        <v>15</v>
      </c>
      <c r="H40" s="2">
        <v>21.1</v>
      </c>
      <c r="I40" s="2">
        <v>20.5</v>
      </c>
      <c r="J40" s="4" t="s">
        <v>89</v>
      </c>
      <c r="K40" s="1">
        <f t="shared" si="0"/>
        <v>20.8</v>
      </c>
    </row>
    <row r="41" spans="1:11" x14ac:dyDescent="0.2">
      <c r="A41" s="10" t="s">
        <v>81</v>
      </c>
      <c r="B41" s="11">
        <v>862852</v>
      </c>
      <c r="C41" s="11">
        <v>14420</v>
      </c>
      <c r="D41" s="2" t="s">
        <v>82</v>
      </c>
      <c r="E41" s="2" t="s">
        <v>18</v>
      </c>
      <c r="F41" s="2" t="s">
        <v>15</v>
      </c>
      <c r="G41" s="2" t="s">
        <v>15</v>
      </c>
      <c r="H41" s="2" t="s">
        <v>15</v>
      </c>
      <c r="I41" s="2" t="s">
        <v>15</v>
      </c>
      <c r="J41" s="1"/>
      <c r="K41" s="1" t="e">
        <f t="shared" si="0"/>
        <v>#DIV/0!</v>
      </c>
    </row>
    <row r="42" spans="1:11" x14ac:dyDescent="0.2">
      <c r="A42" s="7" t="s">
        <v>83</v>
      </c>
      <c r="B42" s="3" t="s">
        <v>18</v>
      </c>
      <c r="C42" s="3" t="s">
        <v>18</v>
      </c>
      <c r="D42" s="3" t="s">
        <v>18</v>
      </c>
      <c r="E42" s="3" t="s">
        <v>18</v>
      </c>
      <c r="F42" s="3">
        <v>24.78</v>
      </c>
      <c r="G42" s="3">
        <v>22.92</v>
      </c>
      <c r="H42" s="3"/>
      <c r="I42" s="3"/>
      <c r="J42" s="1"/>
      <c r="K42" s="1"/>
    </row>
    <row r="43" spans="1:11" x14ac:dyDescent="0.2">
      <c r="A43" s="7" t="s">
        <v>84</v>
      </c>
      <c r="B43" s="3" t="s">
        <v>18</v>
      </c>
      <c r="C43" s="3" t="s">
        <v>18</v>
      </c>
      <c r="D43" s="3" t="s">
        <v>18</v>
      </c>
      <c r="E43" s="3" t="s">
        <v>18</v>
      </c>
      <c r="F43" s="3" t="s">
        <v>15</v>
      </c>
      <c r="G43" s="3" t="s">
        <v>15</v>
      </c>
      <c r="H43" s="3" t="s">
        <v>15</v>
      </c>
      <c r="I43" s="3" t="s">
        <v>15</v>
      </c>
      <c r="J43" s="1"/>
      <c r="K43" s="1"/>
    </row>
    <row r="44" spans="1:11" x14ac:dyDescent="0.2">
      <c r="A44" s="7" t="s">
        <v>85</v>
      </c>
      <c r="B44" s="14">
        <v>787</v>
      </c>
      <c r="C44" s="14">
        <v>133</v>
      </c>
      <c r="D44" s="7" t="s">
        <v>86</v>
      </c>
      <c r="E44" s="7"/>
      <c r="F44" s="7"/>
      <c r="G44" s="7"/>
      <c r="H44" s="7"/>
      <c r="I44" s="7"/>
      <c r="J44" s="1"/>
      <c r="K44" s="1"/>
    </row>
    <row r="45" spans="1:11" x14ac:dyDescent="0.2">
      <c r="A45" s="7" t="s">
        <v>87</v>
      </c>
      <c r="B45" s="14">
        <v>1359</v>
      </c>
      <c r="C45" s="14">
        <v>295</v>
      </c>
      <c r="D45" s="7" t="s">
        <v>88</v>
      </c>
      <c r="E45" s="7"/>
      <c r="F45" s="7"/>
      <c r="G45" s="7"/>
      <c r="H45" s="7"/>
      <c r="I45" s="7"/>
      <c r="J45" s="1"/>
      <c r="K45" s="1"/>
    </row>
  </sheetData>
  <mergeCells count="4">
    <mergeCell ref="A1:A7"/>
    <mergeCell ref="B1:D7"/>
    <mergeCell ref="E1:E7"/>
    <mergeCell ref="F1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BA30-795B-0745-BD8A-8462B3503F13}">
  <dimension ref="A1:L34"/>
  <sheetViews>
    <sheetView workbookViewId="0">
      <selection activeCell="A2" sqref="A2:XFD2"/>
    </sheetView>
  </sheetViews>
  <sheetFormatPr baseColWidth="10" defaultRowHeight="16" x14ac:dyDescent="0.2"/>
  <cols>
    <col min="3" max="3" width="14.33203125" customWidth="1"/>
    <col min="4" max="4" width="45" customWidth="1"/>
  </cols>
  <sheetData>
    <row r="1" spans="1:12" x14ac:dyDescent="0.2">
      <c r="A1" s="5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92</v>
      </c>
      <c r="K1" s="6" t="s">
        <v>91</v>
      </c>
      <c r="L1" s="15" t="s">
        <v>93</v>
      </c>
    </row>
    <row r="2" spans="1:12" x14ac:dyDescent="0.2">
      <c r="A2" s="7" t="s">
        <v>12</v>
      </c>
      <c r="B2" s="8">
        <v>1622747</v>
      </c>
      <c r="C2" s="8">
        <v>3962</v>
      </c>
      <c r="D2" s="3" t="s">
        <v>13</v>
      </c>
      <c r="E2" s="9" t="s">
        <v>14</v>
      </c>
      <c r="F2" s="3">
        <v>22.15</v>
      </c>
      <c r="G2" s="3">
        <v>19.579999999999998</v>
      </c>
      <c r="H2" s="3" t="s">
        <v>15</v>
      </c>
      <c r="I2" s="3" t="s">
        <v>16</v>
      </c>
      <c r="J2" s="1" t="s">
        <v>16</v>
      </c>
      <c r="K2" s="1" t="e">
        <f>AVERAGE(H2,I2)</f>
        <v>#DIV/0!</v>
      </c>
      <c r="L2" s="16">
        <v>0</v>
      </c>
    </row>
    <row r="3" spans="1:12" x14ac:dyDescent="0.2">
      <c r="A3" s="10" t="s">
        <v>17</v>
      </c>
      <c r="B3" s="11">
        <v>190664</v>
      </c>
      <c r="C3" s="11">
        <v>161294</v>
      </c>
      <c r="D3" s="2" t="s">
        <v>18</v>
      </c>
      <c r="E3" s="2" t="s">
        <v>18</v>
      </c>
      <c r="F3" s="2" t="s">
        <v>15</v>
      </c>
      <c r="G3" s="2" t="s">
        <v>15</v>
      </c>
      <c r="H3" s="2">
        <v>27.9</v>
      </c>
      <c r="I3" s="2">
        <v>27.1</v>
      </c>
      <c r="J3" s="2" t="s">
        <v>89</v>
      </c>
      <c r="K3" s="18">
        <f>AVERAGE(H3,I3)</f>
        <v>27.5</v>
      </c>
      <c r="L3" s="16">
        <v>0</v>
      </c>
    </row>
    <row r="4" spans="1:12" x14ac:dyDescent="0.2">
      <c r="A4" s="10" t="s">
        <v>19</v>
      </c>
      <c r="B4" s="11">
        <v>1175782</v>
      </c>
      <c r="C4" s="11">
        <v>33001</v>
      </c>
      <c r="D4" s="2" t="s">
        <v>20</v>
      </c>
      <c r="E4" s="2" t="s">
        <v>18</v>
      </c>
      <c r="F4" s="2" t="s">
        <v>15</v>
      </c>
      <c r="G4" s="2" t="s">
        <v>15</v>
      </c>
      <c r="H4" s="2">
        <v>35.9</v>
      </c>
      <c r="I4" s="2" t="s">
        <v>15</v>
      </c>
      <c r="J4" s="2" t="s">
        <v>90</v>
      </c>
      <c r="K4" s="1">
        <f t="shared" ref="K4:K34" si="0">AVERAGE(H4,I4)</f>
        <v>35.9</v>
      </c>
      <c r="L4" s="16">
        <v>26864</v>
      </c>
    </row>
    <row r="5" spans="1:12" x14ac:dyDescent="0.2">
      <c r="A5" s="7" t="s">
        <v>21</v>
      </c>
      <c r="B5" s="8">
        <v>898695</v>
      </c>
      <c r="C5" s="8">
        <v>4168</v>
      </c>
      <c r="D5" s="3" t="s">
        <v>22</v>
      </c>
      <c r="E5" s="3" t="s">
        <v>18</v>
      </c>
      <c r="F5" s="3" t="s">
        <v>15</v>
      </c>
      <c r="G5" s="3" t="s">
        <v>15</v>
      </c>
      <c r="H5" s="3">
        <v>18.8</v>
      </c>
      <c r="I5" s="3">
        <v>18.3</v>
      </c>
      <c r="J5" s="3" t="s">
        <v>89</v>
      </c>
      <c r="K5" s="18">
        <f t="shared" si="0"/>
        <v>18.55</v>
      </c>
      <c r="L5" s="16">
        <v>2913</v>
      </c>
    </row>
    <row r="6" spans="1:12" x14ac:dyDescent="0.2">
      <c r="A6" s="7" t="s">
        <v>23</v>
      </c>
      <c r="B6" s="8">
        <v>1214269</v>
      </c>
      <c r="C6" s="8">
        <v>191849</v>
      </c>
      <c r="D6" s="3" t="s">
        <v>24</v>
      </c>
      <c r="E6" s="3" t="s">
        <v>18</v>
      </c>
      <c r="F6" s="3" t="s">
        <v>15</v>
      </c>
      <c r="G6" s="3" t="s">
        <v>15</v>
      </c>
      <c r="H6" s="3">
        <v>20</v>
      </c>
      <c r="I6" s="3">
        <v>19.5</v>
      </c>
      <c r="J6" s="3" t="s">
        <v>89</v>
      </c>
      <c r="K6" s="18">
        <f t="shared" si="0"/>
        <v>19.75</v>
      </c>
      <c r="L6" s="16">
        <v>190308</v>
      </c>
    </row>
    <row r="7" spans="1:12" x14ac:dyDescent="0.2">
      <c r="A7" s="10" t="s">
        <v>25</v>
      </c>
      <c r="B7" s="11">
        <v>611796</v>
      </c>
      <c r="C7" s="2">
        <v>18349</v>
      </c>
      <c r="D7" s="10"/>
      <c r="E7" s="2" t="s">
        <v>18</v>
      </c>
      <c r="F7" s="2" t="s">
        <v>15</v>
      </c>
      <c r="G7" s="2" t="s">
        <v>15</v>
      </c>
      <c r="H7" s="2">
        <v>35.5</v>
      </c>
      <c r="I7" s="2" t="s">
        <v>15</v>
      </c>
      <c r="J7" s="2" t="s">
        <v>90</v>
      </c>
      <c r="K7" s="1">
        <f t="shared" si="0"/>
        <v>35.5</v>
      </c>
      <c r="L7" s="16">
        <v>0</v>
      </c>
    </row>
    <row r="8" spans="1:12" x14ac:dyDescent="0.2">
      <c r="A8" s="7" t="s">
        <v>26</v>
      </c>
      <c r="B8" s="8">
        <v>772634</v>
      </c>
      <c r="C8" s="3">
        <v>534261</v>
      </c>
      <c r="D8" s="3" t="s">
        <v>27</v>
      </c>
      <c r="E8" s="3" t="s">
        <v>18</v>
      </c>
      <c r="F8" s="3" t="s">
        <v>15</v>
      </c>
      <c r="G8" s="3" t="s">
        <v>15</v>
      </c>
      <c r="H8" s="3">
        <v>19.2</v>
      </c>
      <c r="I8" s="3">
        <v>18.5</v>
      </c>
      <c r="J8" s="2" t="s">
        <v>89</v>
      </c>
      <c r="K8" s="18">
        <f t="shared" si="0"/>
        <v>18.850000000000001</v>
      </c>
      <c r="L8" s="16">
        <v>534217</v>
      </c>
    </row>
    <row r="9" spans="1:12" x14ac:dyDescent="0.2">
      <c r="A9" s="7" t="s">
        <v>28</v>
      </c>
      <c r="B9" s="8">
        <v>768809</v>
      </c>
      <c r="C9" s="3">
        <v>13640</v>
      </c>
      <c r="D9" s="3" t="s">
        <v>29</v>
      </c>
      <c r="E9" s="3" t="s">
        <v>18</v>
      </c>
      <c r="F9" s="3" t="s">
        <v>15</v>
      </c>
      <c r="G9" s="3" t="s">
        <v>15</v>
      </c>
      <c r="H9" s="3">
        <v>30.8</v>
      </c>
      <c r="I9" s="3">
        <v>33.9</v>
      </c>
      <c r="J9" s="2" t="s">
        <v>89</v>
      </c>
      <c r="K9" s="18">
        <f t="shared" si="0"/>
        <v>32.35</v>
      </c>
      <c r="L9" s="16">
        <v>4173</v>
      </c>
    </row>
    <row r="10" spans="1:12" x14ac:dyDescent="0.2">
      <c r="A10" s="7" t="s">
        <v>30</v>
      </c>
      <c r="B10" s="8">
        <v>857004</v>
      </c>
      <c r="C10" s="3">
        <v>44566</v>
      </c>
      <c r="D10" s="3" t="s">
        <v>31</v>
      </c>
      <c r="E10" s="7"/>
      <c r="F10" s="3" t="s">
        <v>15</v>
      </c>
      <c r="G10" s="3" t="s">
        <v>15</v>
      </c>
      <c r="H10" s="3">
        <v>19.7</v>
      </c>
      <c r="I10" s="3">
        <v>18.899999999999999</v>
      </c>
      <c r="J10" s="2" t="s">
        <v>89</v>
      </c>
      <c r="K10" s="18">
        <f t="shared" si="0"/>
        <v>19.299999999999997</v>
      </c>
      <c r="L10" s="16">
        <v>24721</v>
      </c>
    </row>
    <row r="11" spans="1:12" x14ac:dyDescent="0.2">
      <c r="A11" s="10" t="s">
        <v>32</v>
      </c>
      <c r="B11" s="11">
        <v>870986</v>
      </c>
      <c r="C11" s="2">
        <v>55948</v>
      </c>
      <c r="D11" s="2" t="s">
        <v>33</v>
      </c>
      <c r="E11" s="10"/>
      <c r="F11" s="2" t="s">
        <v>15</v>
      </c>
      <c r="G11" s="2" t="s">
        <v>15</v>
      </c>
      <c r="H11" s="2">
        <v>37</v>
      </c>
      <c r="I11" s="2" t="s">
        <v>15</v>
      </c>
      <c r="J11" s="2" t="s">
        <v>89</v>
      </c>
      <c r="K11" s="1">
        <f t="shared" si="0"/>
        <v>37</v>
      </c>
      <c r="L11" s="16">
        <v>7320</v>
      </c>
    </row>
    <row r="12" spans="1:12" x14ac:dyDescent="0.2">
      <c r="A12" s="10" t="s">
        <v>34</v>
      </c>
      <c r="B12" s="11">
        <v>865803</v>
      </c>
      <c r="C12" s="2">
        <v>48968</v>
      </c>
      <c r="D12" s="2" t="s">
        <v>35</v>
      </c>
      <c r="E12" s="10"/>
      <c r="F12" s="2" t="s">
        <v>15</v>
      </c>
      <c r="G12" s="2" t="s">
        <v>15</v>
      </c>
      <c r="H12" s="2">
        <v>36.1</v>
      </c>
      <c r="I12" s="2" t="s">
        <v>15</v>
      </c>
      <c r="J12" s="2" t="s">
        <v>90</v>
      </c>
      <c r="K12" s="1">
        <f t="shared" si="0"/>
        <v>36.1</v>
      </c>
      <c r="L12" s="16">
        <v>19807</v>
      </c>
    </row>
    <row r="13" spans="1:12" x14ac:dyDescent="0.2">
      <c r="A13" s="7" t="s">
        <v>36</v>
      </c>
      <c r="B13" s="8">
        <v>732414</v>
      </c>
      <c r="C13" s="3">
        <v>9500</v>
      </c>
      <c r="D13" s="3" t="s">
        <v>37</v>
      </c>
      <c r="E13" s="9" t="s">
        <v>38</v>
      </c>
      <c r="F13" s="3">
        <v>20.83</v>
      </c>
      <c r="G13" s="3">
        <v>18.396999999999998</v>
      </c>
      <c r="H13" s="3">
        <v>30.6</v>
      </c>
      <c r="I13" s="3">
        <v>31.7</v>
      </c>
      <c r="J13" s="2" t="s">
        <v>89</v>
      </c>
      <c r="K13" s="18">
        <f t="shared" si="0"/>
        <v>31.15</v>
      </c>
      <c r="L13" s="17">
        <v>2643</v>
      </c>
    </row>
    <row r="14" spans="1:12" x14ac:dyDescent="0.2">
      <c r="A14" s="10" t="s">
        <v>39</v>
      </c>
      <c r="B14" s="11">
        <v>1102078</v>
      </c>
      <c r="C14" s="2">
        <v>5495</v>
      </c>
      <c r="D14" s="2" t="s">
        <v>40</v>
      </c>
      <c r="E14" s="12" t="s">
        <v>41</v>
      </c>
      <c r="F14" s="2">
        <v>24.009</v>
      </c>
      <c r="G14" s="2">
        <v>21.443000000000001</v>
      </c>
      <c r="H14" s="2">
        <v>38.700000000000003</v>
      </c>
      <c r="I14" s="2" t="s">
        <v>15</v>
      </c>
      <c r="J14" s="2" t="s">
        <v>90</v>
      </c>
      <c r="K14" s="1">
        <f t="shared" si="0"/>
        <v>38.700000000000003</v>
      </c>
      <c r="L14" s="16">
        <v>1510</v>
      </c>
    </row>
    <row r="15" spans="1:12" x14ac:dyDescent="0.2">
      <c r="A15" s="10" t="s">
        <v>42</v>
      </c>
      <c r="B15" s="11">
        <v>960779</v>
      </c>
      <c r="C15" s="2">
        <v>145836</v>
      </c>
      <c r="D15" s="2" t="s">
        <v>43</v>
      </c>
      <c r="E15" s="2" t="s">
        <v>18</v>
      </c>
      <c r="F15" s="2">
        <v>37.453000000000003</v>
      </c>
      <c r="G15" s="2">
        <v>33.898000000000003</v>
      </c>
      <c r="H15" s="2">
        <v>33.299999999999997</v>
      </c>
      <c r="I15" s="2">
        <v>36.9</v>
      </c>
      <c r="J15" s="4" t="s">
        <v>16</v>
      </c>
      <c r="K15" s="1">
        <f t="shared" si="0"/>
        <v>35.099999999999994</v>
      </c>
      <c r="L15" s="16">
        <v>66091</v>
      </c>
    </row>
    <row r="16" spans="1:12" x14ac:dyDescent="0.2">
      <c r="A16" s="7" t="s">
        <v>44</v>
      </c>
      <c r="B16" s="8">
        <v>1109729</v>
      </c>
      <c r="C16" s="3">
        <v>138463</v>
      </c>
      <c r="D16" s="3" t="s">
        <v>45</v>
      </c>
      <c r="E16" s="3" t="s">
        <v>18</v>
      </c>
      <c r="F16" s="3" t="s">
        <v>15</v>
      </c>
      <c r="G16" s="3" t="s">
        <v>15</v>
      </c>
      <c r="H16" s="3">
        <v>14.8</v>
      </c>
      <c r="I16" s="3">
        <v>14.3</v>
      </c>
      <c r="J16" s="2" t="s">
        <v>89</v>
      </c>
      <c r="K16" s="18">
        <f t="shared" si="0"/>
        <v>14.55</v>
      </c>
      <c r="L16" s="16">
        <v>31554</v>
      </c>
    </row>
    <row r="17" spans="1:12" x14ac:dyDescent="0.2">
      <c r="A17" s="7" t="s">
        <v>46</v>
      </c>
      <c r="B17" s="8">
        <v>1605782</v>
      </c>
      <c r="C17" s="3">
        <v>481498</v>
      </c>
      <c r="D17" s="3" t="s">
        <v>47</v>
      </c>
      <c r="E17" s="3" t="s">
        <v>18</v>
      </c>
      <c r="F17" s="3" t="s">
        <v>15</v>
      </c>
      <c r="G17" s="3" t="s">
        <v>15</v>
      </c>
      <c r="H17" s="3">
        <v>15.4</v>
      </c>
      <c r="I17" s="3">
        <v>15.1</v>
      </c>
      <c r="J17" s="2" t="s">
        <v>89</v>
      </c>
      <c r="K17" s="18">
        <f t="shared" si="0"/>
        <v>15.25</v>
      </c>
      <c r="L17" s="16">
        <v>125687</v>
      </c>
    </row>
    <row r="18" spans="1:12" x14ac:dyDescent="0.2">
      <c r="A18" s="7" t="s">
        <v>48</v>
      </c>
      <c r="B18" s="8">
        <v>471853</v>
      </c>
      <c r="C18" s="3">
        <v>138473</v>
      </c>
      <c r="D18" s="3" t="s">
        <v>49</v>
      </c>
      <c r="E18" s="3" t="s">
        <v>18</v>
      </c>
      <c r="F18" s="3" t="s">
        <v>15</v>
      </c>
      <c r="G18" s="3" t="s">
        <v>15</v>
      </c>
      <c r="H18" s="3">
        <v>21.2</v>
      </c>
      <c r="I18" s="3">
        <v>20.2</v>
      </c>
      <c r="J18" s="2" t="s">
        <v>89</v>
      </c>
      <c r="K18" s="18">
        <f t="shared" si="0"/>
        <v>20.7</v>
      </c>
      <c r="L18" s="16">
        <v>12031</v>
      </c>
    </row>
    <row r="19" spans="1:12" x14ac:dyDescent="0.2">
      <c r="A19" s="10" t="s">
        <v>50</v>
      </c>
      <c r="B19" s="11">
        <v>1120726</v>
      </c>
      <c r="C19" s="2">
        <v>20528</v>
      </c>
      <c r="D19" s="2" t="s">
        <v>51</v>
      </c>
      <c r="E19" s="2" t="s">
        <v>18</v>
      </c>
      <c r="F19" s="2" t="s">
        <v>15</v>
      </c>
      <c r="G19" s="2" t="s">
        <v>15</v>
      </c>
      <c r="H19" s="2">
        <v>33.200000000000003</v>
      </c>
      <c r="I19" s="2" t="s">
        <v>15</v>
      </c>
      <c r="J19" s="2" t="s">
        <v>89</v>
      </c>
      <c r="K19" s="18">
        <f t="shared" si="0"/>
        <v>33.200000000000003</v>
      </c>
      <c r="L19" s="16">
        <v>332</v>
      </c>
    </row>
    <row r="20" spans="1:12" x14ac:dyDescent="0.2">
      <c r="A20" s="10" t="s">
        <v>52</v>
      </c>
      <c r="B20" s="11">
        <v>568019</v>
      </c>
      <c r="C20" s="11">
        <v>1932</v>
      </c>
      <c r="D20" s="2" t="s">
        <v>53</v>
      </c>
      <c r="E20" s="2" t="s">
        <v>18</v>
      </c>
      <c r="F20" s="2" t="s">
        <v>15</v>
      </c>
      <c r="G20" s="2" t="s">
        <v>15</v>
      </c>
      <c r="H20" s="2">
        <v>27.2</v>
      </c>
      <c r="I20" s="2">
        <v>26.9</v>
      </c>
      <c r="J20" s="2" t="s">
        <v>89</v>
      </c>
      <c r="K20" s="18">
        <f t="shared" si="0"/>
        <v>27.049999999999997</v>
      </c>
      <c r="L20" s="16">
        <v>30</v>
      </c>
    </row>
    <row r="21" spans="1:12" x14ac:dyDescent="0.2">
      <c r="A21" s="10" t="s">
        <v>54</v>
      </c>
      <c r="B21" s="11">
        <v>618522</v>
      </c>
      <c r="C21" s="11">
        <v>125923</v>
      </c>
      <c r="D21" s="2" t="s">
        <v>55</v>
      </c>
      <c r="E21" s="2" t="s">
        <v>18</v>
      </c>
      <c r="F21" s="2" t="s">
        <v>15</v>
      </c>
      <c r="G21" s="2" t="s">
        <v>15</v>
      </c>
      <c r="H21" s="2">
        <v>18</v>
      </c>
      <c r="I21" s="2">
        <v>17.7</v>
      </c>
      <c r="J21" s="2" t="s">
        <v>89</v>
      </c>
      <c r="K21" s="18">
        <f t="shared" si="0"/>
        <v>17.850000000000001</v>
      </c>
      <c r="L21" s="16">
        <v>118137</v>
      </c>
    </row>
    <row r="22" spans="1:12" x14ac:dyDescent="0.2">
      <c r="A22" s="10" t="s">
        <v>56</v>
      </c>
      <c r="B22" s="11">
        <v>351582</v>
      </c>
      <c r="C22" s="11">
        <v>1269</v>
      </c>
      <c r="D22" s="2" t="s">
        <v>57</v>
      </c>
      <c r="E22" s="2" t="s">
        <v>18</v>
      </c>
      <c r="F22" s="2" t="s">
        <v>15</v>
      </c>
      <c r="G22" s="2" t="s">
        <v>15</v>
      </c>
      <c r="H22" s="2">
        <v>36.9</v>
      </c>
      <c r="I22" s="2" t="s">
        <v>15</v>
      </c>
      <c r="J22" s="2" t="s">
        <v>90</v>
      </c>
      <c r="K22" s="1">
        <f t="shared" si="0"/>
        <v>36.9</v>
      </c>
      <c r="L22" s="16">
        <v>45</v>
      </c>
    </row>
    <row r="23" spans="1:12" x14ac:dyDescent="0.2">
      <c r="A23" s="10" t="s">
        <v>58</v>
      </c>
      <c r="B23" s="11">
        <v>499277</v>
      </c>
      <c r="C23" s="11">
        <v>1907</v>
      </c>
      <c r="D23" s="2" t="s">
        <v>59</v>
      </c>
      <c r="E23" s="2" t="s">
        <v>18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16</v>
      </c>
      <c r="K23" s="1" t="e">
        <f t="shared" si="0"/>
        <v>#DIV/0!</v>
      </c>
      <c r="L23" s="16">
        <v>26</v>
      </c>
    </row>
    <row r="24" spans="1:12" x14ac:dyDescent="0.2">
      <c r="A24" s="10" t="s">
        <v>60</v>
      </c>
      <c r="B24" s="11">
        <v>1155273</v>
      </c>
      <c r="C24" s="11">
        <v>35573</v>
      </c>
      <c r="D24" s="2" t="s">
        <v>61</v>
      </c>
      <c r="E24" s="2" t="s">
        <v>18</v>
      </c>
      <c r="F24" s="2" t="s">
        <v>15</v>
      </c>
      <c r="G24" s="2" t="s">
        <v>15</v>
      </c>
      <c r="H24" s="2">
        <v>26.2</v>
      </c>
      <c r="I24" s="2">
        <v>25.8</v>
      </c>
      <c r="J24" s="2" t="s">
        <v>89</v>
      </c>
      <c r="K24" s="18">
        <f t="shared" si="0"/>
        <v>26</v>
      </c>
      <c r="L24" s="16">
        <v>174</v>
      </c>
    </row>
    <row r="25" spans="1:12" x14ac:dyDescent="0.2">
      <c r="A25" s="10" t="s">
        <v>62</v>
      </c>
      <c r="B25" s="11">
        <v>757152</v>
      </c>
      <c r="C25" s="11">
        <v>12383</v>
      </c>
      <c r="D25" s="2" t="s">
        <v>63</v>
      </c>
      <c r="E25" s="2" t="s">
        <v>18</v>
      </c>
      <c r="F25" s="2" t="s">
        <v>15</v>
      </c>
      <c r="G25" s="2" t="s">
        <v>15</v>
      </c>
      <c r="H25" s="2">
        <v>39.5</v>
      </c>
      <c r="I25" s="2" t="s">
        <v>15</v>
      </c>
      <c r="J25" s="2" t="s">
        <v>90</v>
      </c>
      <c r="K25" s="1">
        <f t="shared" si="0"/>
        <v>39.5</v>
      </c>
      <c r="L25" s="16">
        <v>452</v>
      </c>
    </row>
    <row r="26" spans="1:12" x14ac:dyDescent="0.2">
      <c r="A26" s="10" t="s">
        <v>64</v>
      </c>
      <c r="B26" s="11">
        <v>931996</v>
      </c>
      <c r="C26" s="11">
        <v>11876</v>
      </c>
      <c r="D26" s="2" t="s">
        <v>65</v>
      </c>
      <c r="E26" s="2" t="s">
        <v>18</v>
      </c>
      <c r="F26" s="2" t="s">
        <v>15</v>
      </c>
      <c r="G26" s="2" t="s">
        <v>15</v>
      </c>
      <c r="H26" s="2">
        <v>36.6</v>
      </c>
      <c r="I26" s="2" t="s">
        <v>15</v>
      </c>
      <c r="J26" s="2" t="s">
        <v>90</v>
      </c>
      <c r="K26" s="1">
        <f t="shared" si="0"/>
        <v>36.6</v>
      </c>
      <c r="L26" s="16">
        <v>81</v>
      </c>
    </row>
    <row r="27" spans="1:12" x14ac:dyDescent="0.2">
      <c r="A27" s="10" t="s">
        <v>66</v>
      </c>
      <c r="B27" s="11">
        <v>454069</v>
      </c>
      <c r="C27" s="11">
        <v>3559</v>
      </c>
      <c r="D27" s="13" t="s">
        <v>67</v>
      </c>
      <c r="E27" s="13" t="s">
        <v>68</v>
      </c>
      <c r="F27" s="2" t="s">
        <v>15</v>
      </c>
      <c r="G27" s="2" t="s">
        <v>15</v>
      </c>
      <c r="H27" s="2">
        <v>37.6</v>
      </c>
      <c r="I27" s="2" t="s">
        <v>15</v>
      </c>
      <c r="J27" s="2" t="s">
        <v>90</v>
      </c>
      <c r="K27" s="1">
        <f t="shared" si="0"/>
        <v>37.6</v>
      </c>
      <c r="L27" s="16">
        <v>24</v>
      </c>
    </row>
    <row r="28" spans="1:12" x14ac:dyDescent="0.2">
      <c r="A28" s="10" t="s">
        <v>69</v>
      </c>
      <c r="B28" s="11">
        <v>159492</v>
      </c>
      <c r="C28" s="11">
        <v>104277</v>
      </c>
      <c r="D28" s="13" t="s">
        <v>70</v>
      </c>
      <c r="E28" s="13" t="s">
        <v>18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16</v>
      </c>
      <c r="K28" s="1" t="e">
        <f t="shared" si="0"/>
        <v>#DIV/0!</v>
      </c>
      <c r="L28" s="16">
        <v>28</v>
      </c>
    </row>
    <row r="29" spans="1:12" x14ac:dyDescent="0.2">
      <c r="A29" s="10" t="s">
        <v>71</v>
      </c>
      <c r="B29" s="11">
        <v>695903</v>
      </c>
      <c r="C29" s="11">
        <v>7555</v>
      </c>
      <c r="D29" s="2" t="s">
        <v>72</v>
      </c>
      <c r="E29" s="2" t="s">
        <v>18</v>
      </c>
      <c r="F29" s="2" t="s">
        <v>15</v>
      </c>
      <c r="G29" s="2" t="s">
        <v>15</v>
      </c>
      <c r="H29" s="2">
        <v>17.5</v>
      </c>
      <c r="I29" s="2">
        <v>16.899999999999999</v>
      </c>
      <c r="J29" s="2" t="s">
        <v>89</v>
      </c>
      <c r="K29" s="18">
        <f t="shared" si="0"/>
        <v>17.2</v>
      </c>
      <c r="L29" s="16">
        <v>5659</v>
      </c>
    </row>
    <row r="30" spans="1:12" x14ac:dyDescent="0.2">
      <c r="A30" s="10" t="s">
        <v>73</v>
      </c>
      <c r="B30" s="11">
        <v>612173</v>
      </c>
      <c r="C30" s="11">
        <v>7489</v>
      </c>
      <c r="D30" s="2" t="s">
        <v>74</v>
      </c>
      <c r="E30" s="10"/>
      <c r="F30" s="2" t="s">
        <v>15</v>
      </c>
      <c r="G30" s="2" t="s">
        <v>15</v>
      </c>
      <c r="H30" s="2">
        <v>19.399999999999999</v>
      </c>
      <c r="I30" s="2">
        <v>19.600000000000001</v>
      </c>
      <c r="J30" s="4" t="s">
        <v>89</v>
      </c>
      <c r="K30" s="18">
        <f t="shared" si="0"/>
        <v>19.5</v>
      </c>
      <c r="L30" s="16">
        <v>5685</v>
      </c>
    </row>
    <row r="31" spans="1:12" x14ac:dyDescent="0.2">
      <c r="A31" s="10" t="s">
        <v>75</v>
      </c>
      <c r="B31" s="11">
        <v>506916</v>
      </c>
      <c r="C31" s="11">
        <v>41276</v>
      </c>
      <c r="D31" s="2" t="s">
        <v>76</v>
      </c>
      <c r="E31" s="2" t="s">
        <v>18</v>
      </c>
      <c r="F31" s="2" t="s">
        <v>15</v>
      </c>
      <c r="G31" s="2" t="s">
        <v>15</v>
      </c>
      <c r="H31" s="2">
        <v>36.299999999999997</v>
      </c>
      <c r="I31" s="2" t="s">
        <v>15</v>
      </c>
      <c r="J31" s="2" t="s">
        <v>90</v>
      </c>
      <c r="K31" s="1">
        <f t="shared" si="0"/>
        <v>36.299999999999997</v>
      </c>
      <c r="L31" s="16">
        <v>38</v>
      </c>
    </row>
    <row r="32" spans="1:12" x14ac:dyDescent="0.2">
      <c r="A32" s="10" t="s">
        <v>77</v>
      </c>
      <c r="B32" s="11">
        <v>549131</v>
      </c>
      <c r="C32" s="11">
        <v>2264</v>
      </c>
      <c r="D32" s="2" t="s">
        <v>78</v>
      </c>
      <c r="E32" s="2" t="s">
        <v>68</v>
      </c>
      <c r="F32" s="2" t="s">
        <v>15</v>
      </c>
      <c r="G32" s="2" t="s">
        <v>15</v>
      </c>
      <c r="H32" s="2">
        <v>38.6</v>
      </c>
      <c r="I32" s="2" t="s">
        <v>15</v>
      </c>
      <c r="J32" s="2" t="s">
        <v>90</v>
      </c>
      <c r="K32" s="1">
        <f t="shared" si="0"/>
        <v>38.6</v>
      </c>
      <c r="L32" s="16">
        <v>53</v>
      </c>
    </row>
    <row r="33" spans="1:12" x14ac:dyDescent="0.2">
      <c r="A33" s="10" t="s">
        <v>79</v>
      </c>
      <c r="B33" s="2">
        <v>521.84699999999998</v>
      </c>
      <c r="C33" s="2">
        <v>462804</v>
      </c>
      <c r="D33" s="2" t="s">
        <v>80</v>
      </c>
      <c r="E33" s="10"/>
      <c r="F33" s="2" t="s">
        <v>15</v>
      </c>
      <c r="G33" s="2" t="s">
        <v>15</v>
      </c>
      <c r="H33" s="2">
        <v>21.1</v>
      </c>
      <c r="I33" s="2">
        <v>20.5</v>
      </c>
      <c r="J33" s="4" t="s">
        <v>89</v>
      </c>
      <c r="K33" s="18">
        <f t="shared" si="0"/>
        <v>20.8</v>
      </c>
      <c r="L33" s="16">
        <v>446159</v>
      </c>
    </row>
    <row r="34" spans="1:12" x14ac:dyDescent="0.2">
      <c r="A34" s="10" t="s">
        <v>81</v>
      </c>
      <c r="B34" s="11">
        <v>862852</v>
      </c>
      <c r="C34" s="11">
        <v>14420</v>
      </c>
      <c r="D34" s="2" t="s">
        <v>82</v>
      </c>
      <c r="E34" s="2" t="s">
        <v>18</v>
      </c>
      <c r="F34" s="2" t="s">
        <v>15</v>
      </c>
      <c r="G34" s="2" t="s">
        <v>15</v>
      </c>
      <c r="H34" s="2" t="s">
        <v>15</v>
      </c>
      <c r="I34" s="2" t="s">
        <v>15</v>
      </c>
      <c r="J34" s="1"/>
      <c r="K34" s="1" t="e">
        <f t="shared" si="0"/>
        <v>#DIV/0!</v>
      </c>
      <c r="L34" s="16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ABC5-2DFC-F944-9BC6-A6050AE2C4D2}">
  <dimension ref="A1:F22"/>
  <sheetViews>
    <sheetView tabSelected="1" workbookViewId="0">
      <selection sqref="A1:E22"/>
    </sheetView>
  </sheetViews>
  <sheetFormatPr baseColWidth="10" defaultRowHeight="16" x14ac:dyDescent="0.2"/>
  <cols>
    <col min="1" max="1" width="22.1640625" customWidth="1"/>
    <col min="2" max="2" width="19.83203125" customWidth="1"/>
    <col min="3" max="3" width="10.6640625" customWidth="1"/>
    <col min="4" max="4" width="15.1640625" customWidth="1"/>
    <col min="5" max="5" width="15" customWidth="1"/>
  </cols>
  <sheetData>
    <row r="1" spans="1:6" x14ac:dyDescent="0.2">
      <c r="A1" s="30" t="s">
        <v>98</v>
      </c>
      <c r="B1" s="30" t="s">
        <v>99</v>
      </c>
      <c r="C1" s="31" t="s">
        <v>138</v>
      </c>
      <c r="D1" s="31" t="s">
        <v>145</v>
      </c>
      <c r="E1" s="31" t="s">
        <v>152</v>
      </c>
      <c r="F1" s="29"/>
    </row>
    <row r="2" spans="1:6" x14ac:dyDescent="0.2">
      <c r="A2" s="32" t="s">
        <v>100</v>
      </c>
      <c r="B2" s="33"/>
      <c r="C2" s="16"/>
      <c r="D2" s="16"/>
      <c r="E2" s="16"/>
    </row>
    <row r="3" spans="1:6" x14ac:dyDescent="0.2">
      <c r="A3" s="30" t="s">
        <v>101</v>
      </c>
      <c r="B3" s="34" t="s">
        <v>102</v>
      </c>
      <c r="C3" s="16" t="s">
        <v>139</v>
      </c>
      <c r="D3" s="16" t="s">
        <v>140</v>
      </c>
      <c r="E3" s="16" t="s">
        <v>153</v>
      </c>
    </row>
    <row r="4" spans="1:6" x14ac:dyDescent="0.2">
      <c r="A4" s="32" t="s">
        <v>103</v>
      </c>
      <c r="B4" s="35" t="s">
        <v>104</v>
      </c>
      <c r="C4" s="16"/>
      <c r="D4" s="16" t="s">
        <v>151</v>
      </c>
      <c r="E4" s="16" t="s">
        <v>156</v>
      </c>
    </row>
    <row r="5" spans="1:6" x14ac:dyDescent="0.2">
      <c r="A5" s="30" t="s">
        <v>105</v>
      </c>
      <c r="B5" s="36"/>
      <c r="C5" s="16"/>
      <c r="D5" s="16"/>
      <c r="E5" s="16"/>
    </row>
    <row r="6" spans="1:6" x14ac:dyDescent="0.2">
      <c r="A6" s="32" t="s">
        <v>106</v>
      </c>
      <c r="B6" s="35" t="s">
        <v>107</v>
      </c>
      <c r="C6" s="16">
        <v>0</v>
      </c>
      <c r="D6" s="16" t="s">
        <v>141</v>
      </c>
      <c r="E6" s="16">
        <v>0</v>
      </c>
    </row>
    <row r="7" spans="1:6" x14ac:dyDescent="0.2">
      <c r="A7" s="30" t="s">
        <v>108</v>
      </c>
      <c r="B7" s="34" t="s">
        <v>109</v>
      </c>
      <c r="C7" s="16">
        <v>0</v>
      </c>
      <c r="D7" s="16" t="s">
        <v>142</v>
      </c>
      <c r="E7" s="16" t="s">
        <v>154</v>
      </c>
    </row>
    <row r="8" spans="1:6" x14ac:dyDescent="0.2">
      <c r="A8" s="32" t="s">
        <v>110</v>
      </c>
      <c r="B8" s="35" t="s">
        <v>111</v>
      </c>
      <c r="C8" s="16">
        <v>0</v>
      </c>
      <c r="D8" s="16" t="s">
        <v>143</v>
      </c>
      <c r="E8" s="16">
        <v>0</v>
      </c>
    </row>
    <row r="9" spans="1:6" x14ac:dyDescent="0.2">
      <c r="A9" s="30" t="s">
        <v>112</v>
      </c>
      <c r="B9" s="34" t="s">
        <v>113</v>
      </c>
      <c r="C9" s="16" t="s">
        <v>139</v>
      </c>
      <c r="D9" s="16" t="s">
        <v>141</v>
      </c>
      <c r="E9" s="16" t="s">
        <v>153</v>
      </c>
    </row>
    <row r="10" spans="1:6" x14ac:dyDescent="0.2">
      <c r="A10" s="32" t="s">
        <v>114</v>
      </c>
      <c r="B10" s="35" t="s">
        <v>115</v>
      </c>
      <c r="C10" s="16">
        <v>0</v>
      </c>
      <c r="D10" s="16" t="s">
        <v>144</v>
      </c>
      <c r="E10" s="16">
        <v>0</v>
      </c>
    </row>
    <row r="11" spans="1:6" x14ac:dyDescent="0.2">
      <c r="A11" s="30" t="s">
        <v>116</v>
      </c>
      <c r="B11" s="36"/>
      <c r="C11" s="16"/>
      <c r="D11" s="16"/>
      <c r="E11" s="16"/>
    </row>
    <row r="12" spans="1:6" x14ac:dyDescent="0.2">
      <c r="A12" s="32" t="s">
        <v>117</v>
      </c>
      <c r="B12" s="35" t="s">
        <v>118</v>
      </c>
      <c r="C12" s="16" t="s">
        <v>139</v>
      </c>
      <c r="D12" s="16" t="s">
        <v>146</v>
      </c>
      <c r="E12" s="16" t="s">
        <v>155</v>
      </c>
    </row>
    <row r="13" spans="1:6" x14ac:dyDescent="0.2">
      <c r="A13" s="30" t="s">
        <v>119</v>
      </c>
      <c r="B13" s="34" t="s">
        <v>120</v>
      </c>
      <c r="C13" s="16" t="s">
        <v>139</v>
      </c>
      <c r="D13" s="16" t="s">
        <v>147</v>
      </c>
      <c r="E13" s="16" t="s">
        <v>154</v>
      </c>
    </row>
    <row r="14" spans="1:6" x14ac:dyDescent="0.2">
      <c r="A14" s="32" t="s">
        <v>121</v>
      </c>
      <c r="B14" s="35" t="s">
        <v>122</v>
      </c>
      <c r="C14" s="16" t="s">
        <v>139</v>
      </c>
      <c r="D14" s="16" t="s">
        <v>148</v>
      </c>
      <c r="E14" s="16">
        <v>0</v>
      </c>
    </row>
    <row r="15" spans="1:6" x14ac:dyDescent="0.2">
      <c r="A15" s="30" t="s">
        <v>123</v>
      </c>
      <c r="B15" s="34" t="s">
        <v>124</v>
      </c>
      <c r="C15" s="16" t="s">
        <v>139</v>
      </c>
      <c r="D15" s="16" t="s">
        <v>141</v>
      </c>
      <c r="E15" s="16" t="s">
        <v>154</v>
      </c>
    </row>
    <row r="16" spans="1:6" x14ac:dyDescent="0.2">
      <c r="A16" s="32" t="s">
        <v>125</v>
      </c>
      <c r="B16" s="35" t="s">
        <v>126</v>
      </c>
      <c r="C16" s="16" t="s">
        <v>139</v>
      </c>
      <c r="D16" s="16" t="s">
        <v>141</v>
      </c>
      <c r="E16" s="16">
        <v>0</v>
      </c>
    </row>
    <row r="17" spans="1:5" x14ac:dyDescent="0.2">
      <c r="A17" s="30" t="s">
        <v>127</v>
      </c>
      <c r="B17" s="34" t="s">
        <v>128</v>
      </c>
      <c r="C17" s="16" t="s">
        <v>139</v>
      </c>
      <c r="D17" s="16" t="s">
        <v>143</v>
      </c>
      <c r="E17" s="16" t="s">
        <v>154</v>
      </c>
    </row>
    <row r="18" spans="1:5" x14ac:dyDescent="0.2">
      <c r="A18" s="32" t="s">
        <v>129</v>
      </c>
      <c r="B18" s="35" t="s">
        <v>128</v>
      </c>
      <c r="C18" s="16" t="s">
        <v>139</v>
      </c>
      <c r="D18" s="16" t="s">
        <v>143</v>
      </c>
      <c r="E18" s="16">
        <v>0</v>
      </c>
    </row>
    <row r="19" spans="1:5" x14ac:dyDescent="0.2">
      <c r="A19" s="30" t="s">
        <v>130</v>
      </c>
      <c r="B19" s="34" t="s">
        <v>131</v>
      </c>
      <c r="C19" s="16" t="s">
        <v>139</v>
      </c>
      <c r="D19" s="16" t="s">
        <v>149</v>
      </c>
      <c r="E19" s="16">
        <v>0</v>
      </c>
    </row>
    <row r="20" spans="1:5" x14ac:dyDescent="0.2">
      <c r="A20" s="32" t="s">
        <v>132</v>
      </c>
      <c r="B20" s="35" t="s">
        <v>133</v>
      </c>
      <c r="C20" s="16" t="s">
        <v>139</v>
      </c>
      <c r="D20" s="16" t="s">
        <v>150</v>
      </c>
      <c r="E20" s="16">
        <v>0</v>
      </c>
    </row>
    <row r="21" spans="1:5" x14ac:dyDescent="0.2">
      <c r="A21" s="30" t="s">
        <v>134</v>
      </c>
      <c r="B21" s="34" t="s">
        <v>135</v>
      </c>
      <c r="C21" s="16">
        <v>0</v>
      </c>
      <c r="D21" s="16" t="s">
        <v>150</v>
      </c>
      <c r="E21" s="16">
        <v>0</v>
      </c>
    </row>
    <row r="22" spans="1:5" x14ac:dyDescent="0.2">
      <c r="A22" s="32" t="s">
        <v>136</v>
      </c>
      <c r="B22" s="35" t="s">
        <v>137</v>
      </c>
      <c r="C22" s="16" t="s">
        <v>139</v>
      </c>
      <c r="D22" s="16">
        <v>0</v>
      </c>
      <c r="E22" s="16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Musundi</dc:creator>
  <cp:lastModifiedBy>Sebastian Musundi</cp:lastModifiedBy>
  <dcterms:created xsi:type="dcterms:W3CDTF">2026-05-18T06:58:25Z</dcterms:created>
  <dcterms:modified xsi:type="dcterms:W3CDTF">2026-05-26T09:39:37Z</dcterms:modified>
</cp:coreProperties>
</file>